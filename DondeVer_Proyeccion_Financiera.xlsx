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yeccion Ingresos" sheetId="1" state="visible" r:id="rId3"/>
    <sheet name="Roadmap Crecimiento" sheetId="2" state="visible" r:id="rId4"/>
    <sheet name="E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<sst xmlns="http://schemas.openxmlformats.org/spreadsheetml/2006/main" count="173" uniqueCount="149">
  <si>
    <t xml:space="preserve">DondeVer.app — Proyeccion de Ingresos</t>
  </si>
  <si>
    <t xml:space="preserve">Modelo financiero: 3 canales de monetizacion x 3 programas de afiliados</t>
  </si>
  <si>
    <t xml:space="preserve">Mes 1</t>
  </si>
  <si>
    <t xml:space="preserve">Mes 3</t>
  </si>
  <si>
    <t xml:space="preserve">Mes 6</t>
  </si>
  <si>
    <t xml:space="preserve">Mes 9</t>
  </si>
  <si>
    <t xml:space="preserve">Mes 12</t>
  </si>
  <si>
    <t xml:space="preserve">Notas</t>
  </si>
  <si>
    <t xml:space="preserve">TRAFICO (visitas/mes)</t>
  </si>
  <si>
    <t xml:space="preserve">Web — Google organico (SEO)</t>
  </si>
  <si>
    <t xml:space="preserve">SEO tarda 2-3 meses en indexar</t>
  </si>
  <si>
    <t xml:space="preserve">Web — Twitter referral</t>
  </si>
  <si>
    <t xml:space="preserve">Bot postea ~50 tweets/dia en temporada</t>
  </si>
  <si>
    <t xml:space="preserve">WhatsApp — mensajes recibidos</t>
  </si>
  <si>
    <t xml:space="preserve">TOTAL VISITAS/MES</t>
  </si>
  <si>
    <t xml:space="preserve">TASAS DE CONVERSION</t>
  </si>
  <si>
    <t xml:space="preserve">CTR afiliados apuestas (1xbet + Betsson)</t>
  </si>
  <si>
    <t xml:space="preserve">3-6% CTR tipico en nicho deportes</t>
  </si>
  <si>
    <t xml:space="preserve">CTR VPN (NordVPN/CJ)</t>
  </si>
  <si>
    <t xml:space="preserve">Conversion: click → registro apuestas</t>
  </si>
  <si>
    <t xml:space="preserve">8-15% click-to-signup en LatAm betting</t>
  </si>
  <si>
    <t xml:space="preserve">Conversion: click → compra VPN</t>
  </si>
  <si>
    <t xml:space="preserve">COMISIONES POR AFILIADO</t>
  </si>
  <si>
    <t xml:space="preserve">1xBet — CPA por registro con deposito</t>
  </si>
  <si>
    <t xml:space="preserve">CPA $100-250 USD, conservador $100</t>
  </si>
  <si>
    <t xml:space="preserve">Betsson — CPA por registro con deposito</t>
  </si>
  <si>
    <t xml:space="preserve">CPA negociable, ~$80 MX market</t>
  </si>
  <si>
    <t xml:space="preserve">NordVPN — comision por venta (CJ)</t>
  </si>
  <si>
    <t xml:space="preserve">$22-36 por venta, promedio $28</t>
  </si>
  <si>
    <t xml:space="preserve">INGRESOS MENSUALES (USD)</t>
  </si>
  <si>
    <t xml:space="preserve">Clicks a apuestas (1xbet+Betsson)</t>
  </si>
  <si>
    <t xml:space="preserve">Registros con deposito (apuestas)</t>
  </si>
  <si>
    <t xml:space="preserve">  Ingreso 1xBet (50% de registros)</t>
  </si>
  <si>
    <t xml:space="preserve">  Ingreso Betsson (50% de registros)</t>
  </si>
  <si>
    <t xml:space="preserve">Clicks a VPN (NordVPN)</t>
  </si>
  <si>
    <t xml:space="preserve">Ventas VPN</t>
  </si>
  <si>
    <t xml:space="preserve">  Ingreso NordVPN (CJ)</t>
  </si>
  <si>
    <t xml:space="preserve">TOTAL INGRESO MENSUAL (USD)</t>
  </si>
  <si>
    <t xml:space="preserve">INGRESO ANUAL PROYECTADO (Mes12 x 12)</t>
  </si>
  <si>
    <t xml:space="preserve">COSTOS MENSUALES (USD)</t>
  </si>
  <si>
    <t xml:space="preserve">Render.com hosting (free tier → $7)</t>
  </si>
  <si>
    <t xml:space="preserve">Free tier cubre inicio</t>
  </si>
  <si>
    <t xml:space="preserve">TheSportsDB Premium API</t>
  </si>
  <si>
    <t xml:space="preserve">Plan Premium $9/mes</t>
  </si>
  <si>
    <t xml:space="preserve">Dominio dondever.app (anual/12)</t>
  </si>
  <si>
    <t xml:space="preserve">~$12/ano</t>
  </si>
  <si>
    <t xml:space="preserve">Twitter API (Free tier)</t>
  </si>
  <si>
    <t xml:space="preserve">Free tier suficiente</t>
  </si>
  <si>
    <t xml:space="preserve">Twilio WhatsApp (por mensaje)</t>
  </si>
  <si>
    <t xml:space="preserve">~$0.004/msg</t>
  </si>
  <si>
    <t xml:space="preserve">TOTAL COSTOS</t>
  </si>
  <si>
    <t xml:space="preserve">GANANCIA NETA MENSUAL (USD)</t>
  </si>
  <si>
    <t xml:space="preserve">GANANCIA NETA ANUAL (Mes12 x 12)</t>
  </si>
  <si>
    <t xml:space="preserve">SUPUESTOS CLAVE</t>
  </si>
  <si>
    <t xml:space="preserve">  1. Escenario CONSERVADOR. Trafico real puede ser mayor si hay eventos grandes (Mundial, Super Bowl, etc.)</t>
  </si>
  <si>
    <t xml:space="preserve">  2. 1xBet CPA $100 es el minimo — puede ser $150-250 dependiendo del GEO y volumen</t>
  </si>
  <si>
    <t xml:space="preserve">  3. Betsson CPA de $80 es negociable al alza con volumen</t>
  </si>
  <si>
    <t xml:space="preserve">  4. NordVPN paga $22-36 por venta via CJ Affiliate — usamos promedio $28</t>
  </si>
  <si>
    <t xml:space="preserve">  5. No incluye revenue share recurrente de apuestas (puede ser 25-40% de net revenue del jugador)</t>
  </si>
  <si>
    <t xml:space="preserve">  6. Temporadas altas (NFL Sep-Feb, Mundial, Champions) pueden 2-3x el trafico</t>
  </si>
  <si>
    <t xml:space="preserve">DondeVer.app — Roadmap de Crecimiento</t>
  </si>
  <si>
    <t xml:space="preserve">Fase</t>
  </si>
  <si>
    <t xml:space="preserve">Accion</t>
  </si>
  <si>
    <t xml:space="preserve">Impacto</t>
  </si>
  <si>
    <t xml:space="preserve">Esfuerzo</t>
  </si>
  <si>
    <t xml:space="preserve">Meta</t>
  </si>
  <si>
    <t xml:space="preserve">Semana 1-2</t>
  </si>
  <si>
    <t xml:space="preserve">Configurar Twitter bot env vars en Render</t>
  </si>
  <si>
    <t xml:space="preserve">ALTO</t>
  </si>
  <si>
    <t xml:space="preserve">10 min</t>
  </si>
  <si>
    <t xml:space="preserve">Bot posteando automatico</t>
  </si>
  <si>
    <t xml:space="preserve">Subir sitemap.xml a Google Search Console</t>
  </si>
  <si>
    <t xml:space="preserve">15 min</t>
  </si>
  <si>
    <t xml:space="preserve">Google empieza a indexar</t>
  </si>
  <si>
    <t xml:space="preserve">Verificar 3 affiliate links funcionan en produccion</t>
  </si>
  <si>
    <t xml:space="preserve">CRITICO</t>
  </si>
  <si>
    <t xml:space="preserve">20 min</t>
  </si>
  <si>
    <t xml:space="preserve">Links generando clicks</t>
  </si>
  <si>
    <t xml:space="preserve">Crear cuenta Google Analytics + tag en templates</t>
  </si>
  <si>
    <t xml:space="preserve">30 min</t>
  </si>
  <si>
    <t xml:space="preserve">Medir trafico real</t>
  </si>
  <si>
    <t xml:space="preserve">Semana 3-4</t>
  </si>
  <si>
    <t xml:space="preserve">Crear paginas estaticas por liga (/liga-mx, /nfl, etc.)</t>
  </si>
  <si>
    <t xml:space="preserve">3 hrs</t>
  </si>
  <si>
    <t xml:space="preserve">Mas paginas indexadas por Google</t>
  </si>
  <si>
    <t xml:space="preserve">Agregar schema FAQ a index.html</t>
  </si>
  <si>
    <t xml:space="preserve">MEDIO</t>
  </si>
  <si>
    <t xml:space="preserve">1 hr</t>
  </si>
  <si>
    <t xml:space="preserve">Rich snippets en Google</t>
  </si>
  <si>
    <t xml:space="preserve">Optimizar Twitter: postear con imagenes (team logos)</t>
  </si>
  <si>
    <t xml:space="preserve">2 hrs</t>
  </si>
  <si>
    <t xml:space="preserve">2-3x engagement en tweets</t>
  </si>
  <si>
    <t xml:space="preserve">Compartir en grupos de WhatsApp/Facebook de futbol MX</t>
  </si>
  <si>
    <t xml:space="preserve">1 hr/sem</t>
  </si>
  <si>
    <t xml:space="preserve">Primeros 500 usuarios organicos</t>
  </si>
  <si>
    <t xml:space="preserve">Mes 2-3</t>
  </si>
  <si>
    <t xml:space="preserve">SEO: crear articulos 'Donde ver [equipo] hoy'</t>
  </si>
  <si>
    <t xml:space="preserve">MUY ALTO</t>
  </si>
  <si>
    <t xml:space="preserve">2 hrs/sem</t>
  </si>
  <si>
    <t xml:space="preserve">Long-tail keywords: miles de busquedas</t>
  </si>
  <si>
    <t xml:space="preserve">Agregar notificaciones push (OneSignal, gratis)</t>
  </si>
  <si>
    <t xml:space="preserve">Usuarios regresan sin buscar</t>
  </si>
  <si>
    <t xml:space="preserve">Negociar CPA mas alto con 1xBet (con datos de conversion)</t>
  </si>
  <si>
    <t xml:space="preserve">CPA $150-200 vs $100</t>
  </si>
  <si>
    <t xml:space="preserve">A/B test posicion de banners de afiliados</t>
  </si>
  <si>
    <t xml:space="preserve">+20-30% CTR</t>
  </si>
  <si>
    <t xml:space="preserve">Mes 4-6</t>
  </si>
  <si>
    <t xml:space="preserve">Expandir a mas ligas (Liga MX Femenil, Liga Expansion)</t>
  </si>
  <si>
    <t xml:space="preserve">Mas contenido = mas SEO</t>
  </si>
  <si>
    <t xml:space="preserve">Landing pages por evento (Super Bowl, Final Champions)</t>
  </si>
  <si>
    <t xml:space="preserve">3 hrs c/u</t>
  </si>
  <si>
    <t xml:space="preserve">Picos de trafico masivos</t>
  </si>
  <si>
    <t xml:space="preserve">Agregar Google AdSense como ingreso complementario</t>
  </si>
  <si>
    <t xml:space="preserve">$2-5 CPM = ingreso pasivo extra</t>
  </si>
  <si>
    <t xml:space="preserve">Crear canal de Telegram complementario</t>
  </si>
  <si>
    <t xml:space="preserve">Otro canal de distribucion</t>
  </si>
  <si>
    <t xml:space="preserve">Mes 6-12</t>
  </si>
  <si>
    <t xml:space="preserve">Revenue share con casas de apuestas (vs solo CPA)</t>
  </si>
  <si>
    <t xml:space="preserve">Negociacion</t>
  </si>
  <si>
    <t xml:space="preserve">Ingreso recurrente mensual</t>
  </si>
  <si>
    <t xml:space="preserve">Agregar pronosticos/picks para aumentar engagement</t>
  </si>
  <si>
    <t xml:space="preserve">3 hrs/sem</t>
  </si>
  <si>
    <t xml:space="preserve">Mas tiempo en sitio = mas clicks</t>
  </si>
  <si>
    <t xml:space="preserve">App movil (PWA) con notificaciones</t>
  </si>
  <si>
    <t xml:space="preserve">1 semana</t>
  </si>
  <si>
    <t xml:space="preserve">Retencion 3-5x vs web</t>
  </si>
  <si>
    <t xml:space="preserve">Explorar patrocinios directos de casas de apuestas</t>
  </si>
  <si>
    <t xml:space="preserve">$500-2000/mes por banner fijo</t>
  </si>
  <si>
    <t xml:space="preserve">Comparacion de Escenarios — Mes 12</t>
  </si>
  <si>
    <t xml:space="preserve">Conservador</t>
  </si>
  <si>
    <t xml:space="preserve">Moderado</t>
  </si>
  <si>
    <t xml:space="preserve">Agresivo</t>
  </si>
  <si>
    <t xml:space="preserve">Visitas/mes</t>
  </si>
  <si>
    <t xml:space="preserve">CTR apuestas</t>
  </si>
  <si>
    <t xml:space="preserve">CTR VPN</t>
  </si>
  <si>
    <t xml:space="preserve">Conv. registro apuestas</t>
  </si>
  <si>
    <t xml:space="preserve">Conv. venta VPN</t>
  </si>
  <si>
    <t xml:space="preserve">CPA promedio apuestas</t>
  </si>
  <si>
    <t xml:space="preserve">Comision VPN</t>
  </si>
  <si>
    <t xml:space="preserve">RESULTADOS MES 12</t>
  </si>
  <si>
    <t xml:space="preserve">Clicks apuestas</t>
  </si>
  <si>
    <t xml:space="preserve">Registros apuestas</t>
  </si>
  <si>
    <t xml:space="preserve">Ingreso apuestas</t>
  </si>
  <si>
    <t xml:space="preserve">Ingreso VPN</t>
  </si>
  <si>
    <t xml:space="preserve">INGRESO MENSUAL TOTAL</t>
  </si>
  <si>
    <t xml:space="preserve">INGRESO ANUAL TOTAL</t>
  </si>
  <si>
    <t xml:space="preserve">Costos mensuales</t>
  </si>
  <si>
    <t xml:space="preserve">GANANCIA NETA MENSUAL</t>
  </si>
  <si>
    <t xml:space="preserve">GANANCIA NETA ANUAL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</si>
</sst>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$#,##0"/>
    <numFmt numFmtId="168" formatCode="#,##0.0"/>
    <numFmt numFmtId="169" formatCode="\$#,##0;&quot;($&quot;#,##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b val="true"/>
      <sz val="13"/>
      <color rgb="FF059669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4"/>
      <color rgb="FF059669"/>
      <name val="Arial"/>
      <family val="0"/>
      <charset val="1"/>
    </font>
    <font>
      <b val="true"/>
      <sz val="1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D1FAE5"/>
        <bgColor rgb="FFDBEAFE"/>
      </patternFill>
    </fill>
    <fill>
      <patternFill patternType="solid">
        <fgColor rgb="FFF8F9FB"/>
        <bgColor rgb="FFFFFFFF"/>
      </patternFill>
    </fill>
    <fill>
      <patternFill patternType="solid">
        <fgColor rgb="FFFFF7ED"/>
        <bgColor rgb="FFF8F9FB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FF7ED"/>
      </patternFill>
    </fill>
    <fill>
      <patternFill patternType="solid">
        <fgColor rgb="FFDBEAFE"/>
        <bgColor rgb="FFD1FAE5"/>
      </patternFill>
    </fill>
    <fill>
      <patternFill patternType="solid">
        <fgColor rgb="FFFEE2E2"/>
        <bgColor rgb="FFFEF3C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B"/>
      <rgbColor rgb="FFD1FAE5"/>
      <rgbColor rgb="FFFFF7ED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97316"/>
      <rgbColor rgb="FF6B7280"/>
      <rgbColor rgb="FF969696"/>
      <rgbColor rgb="FF003366"/>
      <rgbColor rgb="FF10B981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G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6" customFormat="false" ht="15" hidden="false" customHeight="false" outlineLevel="0" collapsed="false">
      <c r="A6" s="5" t="s">
        <v>8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s">
        <v>9</v>
      </c>
      <c r="B7" s="8" t="n">
        <v>500</v>
      </c>
      <c r="C7" s="8" t="n">
        <v>2000</v>
      </c>
      <c r="D7" s="8" t="n">
        <v>8000</v>
      </c>
      <c r="E7" s="8" t="n">
        <v>18000</v>
      </c>
      <c r="F7" s="8" t="n">
        <v>35000</v>
      </c>
      <c r="G7" s="9" t="s">
        <v>10</v>
      </c>
    </row>
    <row r="8" customFormat="false" ht="15" hidden="false" customHeight="false" outlineLevel="0" collapsed="false">
      <c r="A8" s="7" t="s">
        <v>11</v>
      </c>
      <c r="B8" s="8" t="n">
        <v>300</v>
      </c>
      <c r="C8" s="8" t="n">
        <v>1200</v>
      </c>
      <c r="D8" s="8" t="n">
        <v>3500</v>
      </c>
      <c r="E8" s="8" t="n">
        <v>6000</v>
      </c>
      <c r="F8" s="8" t="n">
        <v>10000</v>
      </c>
      <c r="G8" s="9" t="s">
        <v>12</v>
      </c>
    </row>
    <row r="9" customFormat="false" ht="15" hidden="false" customHeight="false" outlineLevel="0" collapsed="false">
      <c r="A9" s="7" t="s">
        <v>13</v>
      </c>
      <c r="B9" s="8" t="n">
        <v>100</v>
      </c>
      <c r="C9" s="8" t="n">
        <v>500</v>
      </c>
      <c r="D9" s="8" t="n">
        <v>2000</v>
      </c>
      <c r="E9" s="8" t="n">
        <v>5000</v>
      </c>
      <c r="F9" s="8" t="n">
        <v>12000</v>
      </c>
    </row>
    <row r="10" customFormat="false" ht="15" hidden="false" customHeight="false" outlineLevel="0" collapsed="false">
      <c r="A10" s="10" t="s">
        <v>14</v>
      </c>
      <c r="B10" s="11" t="n">
        <f aca="false">SUM(B7:B9)</f>
        <v>900</v>
      </c>
      <c r="C10" s="11" t="n">
        <f aca="false">SUM(C7:C9)</f>
        <v>3700</v>
      </c>
      <c r="D10" s="11" t="n">
        <f aca="false">SUM(D7:D9)</f>
        <v>13500</v>
      </c>
      <c r="E10" s="11" t="n">
        <f aca="false">SUM(E7:E9)</f>
        <v>29000</v>
      </c>
      <c r="F10" s="11" t="n">
        <f aca="false">SUM(F7:F9)</f>
        <v>57000</v>
      </c>
      <c r="G10" s="12"/>
    </row>
    <row r="12" customFormat="false" ht="15" hidden="false" customHeight="false" outlineLevel="0" collapsed="false">
      <c r="A12" s="13" t="s">
        <v>15</v>
      </c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7" t="s">
        <v>16</v>
      </c>
      <c r="B13" s="15" t="n">
        <v>0.03</v>
      </c>
      <c r="C13" s="15" t="n">
        <v>0.04</v>
      </c>
      <c r="D13" s="15" t="n">
        <v>0.05</v>
      </c>
      <c r="E13" s="15" t="n">
        <v>0.055</v>
      </c>
      <c r="F13" s="15" t="n">
        <v>0.06</v>
      </c>
      <c r="G13" s="9" t="s">
        <v>17</v>
      </c>
    </row>
    <row r="14" customFormat="false" ht="15" hidden="false" customHeight="false" outlineLevel="0" collapsed="false">
      <c r="A14" s="7" t="s">
        <v>18</v>
      </c>
      <c r="B14" s="15" t="n">
        <v>0.01</v>
      </c>
      <c r="C14" s="15" t="n">
        <v>0.015</v>
      </c>
      <c r="D14" s="15" t="n">
        <v>0.02</v>
      </c>
      <c r="E14" s="15" t="n">
        <v>0.02</v>
      </c>
      <c r="F14" s="15" t="n">
        <v>0.025</v>
      </c>
    </row>
    <row r="15" customFormat="false" ht="15" hidden="false" customHeight="false" outlineLevel="0" collapsed="false">
      <c r="A15" s="7" t="s">
        <v>19</v>
      </c>
      <c r="B15" s="15" t="n">
        <v>0.08</v>
      </c>
      <c r="C15" s="15" t="n">
        <v>0.1</v>
      </c>
      <c r="D15" s="15" t="n">
        <v>0.12</v>
      </c>
      <c r="E15" s="15" t="n">
        <v>0.12</v>
      </c>
      <c r="F15" s="15" t="n">
        <v>0.15</v>
      </c>
      <c r="G15" s="9" t="s">
        <v>20</v>
      </c>
    </row>
    <row r="16" customFormat="false" ht="15" hidden="false" customHeight="false" outlineLevel="0" collapsed="false">
      <c r="A16" s="7" t="s">
        <v>21</v>
      </c>
      <c r="B16" s="15" t="n">
        <v>0.05</v>
      </c>
      <c r="C16" s="15" t="n">
        <v>0.06</v>
      </c>
      <c r="D16" s="15" t="n">
        <v>0.07</v>
      </c>
      <c r="E16" s="15" t="n">
        <v>0.07</v>
      </c>
      <c r="F16" s="15" t="n">
        <v>0.08</v>
      </c>
    </row>
    <row r="18" customFormat="false" ht="15" hidden="false" customHeight="false" outlineLevel="0" collapsed="false">
      <c r="A18" s="5" t="s">
        <v>22</v>
      </c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7" t="s">
        <v>23</v>
      </c>
      <c r="B19" s="16" t="n">
        <v>100</v>
      </c>
      <c r="G19" s="17" t="s">
        <v>24</v>
      </c>
    </row>
    <row r="20" customFormat="false" ht="15" hidden="false" customHeight="false" outlineLevel="0" collapsed="false">
      <c r="A20" s="7" t="s">
        <v>25</v>
      </c>
      <c r="B20" s="16" t="n">
        <v>80</v>
      </c>
      <c r="G20" s="9" t="s">
        <v>26</v>
      </c>
    </row>
    <row r="21" customFormat="false" ht="15" hidden="false" customHeight="false" outlineLevel="0" collapsed="false">
      <c r="A21" s="7" t="s">
        <v>27</v>
      </c>
      <c r="B21" s="16" t="n">
        <v>28</v>
      </c>
      <c r="G21" s="9" t="s">
        <v>28</v>
      </c>
    </row>
    <row r="23" customFormat="false" ht="15" hidden="false" customHeight="false" outlineLevel="0" collapsed="false">
      <c r="A23" s="18" t="s">
        <v>29</v>
      </c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7" t="s">
        <v>30</v>
      </c>
      <c r="B24" s="19" t="n">
        <f aca="false">B10*B13</f>
        <v>27</v>
      </c>
      <c r="C24" s="19" t="n">
        <f aca="false">C10*C13</f>
        <v>148</v>
      </c>
      <c r="D24" s="19" t="n">
        <f aca="false">D10*D13</f>
        <v>675</v>
      </c>
      <c r="E24" s="19" t="n">
        <f aca="false">E10*E13</f>
        <v>1595</v>
      </c>
      <c r="F24" s="19" t="n">
        <f aca="false">F10*F13</f>
        <v>3420</v>
      </c>
    </row>
    <row r="25" customFormat="false" ht="15" hidden="false" customHeight="false" outlineLevel="0" collapsed="false">
      <c r="A25" s="7" t="s">
        <v>31</v>
      </c>
      <c r="B25" s="20" t="n">
        <f aca="false">B24*B15</f>
        <v>2.16</v>
      </c>
      <c r="C25" s="20" t="n">
        <f aca="false">C24*C15</f>
        <v>14.8</v>
      </c>
      <c r="D25" s="20" t="n">
        <f aca="false">D24*D15</f>
        <v>81</v>
      </c>
      <c r="E25" s="20" t="n">
        <f aca="false">E24*E15</f>
        <v>191.4</v>
      </c>
      <c r="F25" s="20" t="n">
        <f aca="false">F24*F15</f>
        <v>513</v>
      </c>
    </row>
    <row r="26" customFormat="false" ht="15" hidden="false" customHeight="false" outlineLevel="0" collapsed="false">
      <c r="A26" s="7" t="s">
        <v>32</v>
      </c>
      <c r="B26" s="21" t="n">
        <f aca="false">B25*0.5*$B$19</f>
        <v>108</v>
      </c>
      <c r="C26" s="21" t="n">
        <f aca="false">C25*0.5*$B$19</f>
        <v>740</v>
      </c>
      <c r="D26" s="21" t="n">
        <f aca="false">D25*0.5*$B$19</f>
        <v>4050</v>
      </c>
      <c r="E26" s="21" t="n">
        <f aca="false">E25*0.5*$B$19</f>
        <v>9570</v>
      </c>
      <c r="F26" s="21" t="n">
        <f aca="false">F25*0.5*$B$19</f>
        <v>25650</v>
      </c>
    </row>
    <row r="27" customFormat="false" ht="15" hidden="false" customHeight="false" outlineLevel="0" collapsed="false">
      <c r="A27" s="7" t="s">
        <v>33</v>
      </c>
      <c r="B27" s="21" t="n">
        <f aca="false">B25*0.5*$B$20</f>
        <v>86.4</v>
      </c>
      <c r="C27" s="21" t="n">
        <f aca="false">C25*0.5*$B$20</f>
        <v>592</v>
      </c>
      <c r="D27" s="21" t="n">
        <f aca="false">D25*0.5*$B$20</f>
        <v>3240</v>
      </c>
      <c r="E27" s="21" t="n">
        <f aca="false">E25*0.5*$B$20</f>
        <v>7656</v>
      </c>
      <c r="F27" s="21" t="n">
        <f aca="false">F25*0.5*$B$20</f>
        <v>20520</v>
      </c>
    </row>
    <row r="28" customFormat="false" ht="15" hidden="false" customHeight="false" outlineLevel="0" collapsed="false">
      <c r="A28" s="7" t="s">
        <v>34</v>
      </c>
      <c r="B28" s="19" t="n">
        <f aca="false">B10*B14</f>
        <v>9</v>
      </c>
      <c r="C28" s="19" t="n">
        <f aca="false">C10*C14</f>
        <v>55.5</v>
      </c>
      <c r="D28" s="19" t="n">
        <f aca="false">D10*D14</f>
        <v>270</v>
      </c>
      <c r="E28" s="19" t="n">
        <f aca="false">E10*E14</f>
        <v>580</v>
      </c>
      <c r="F28" s="19" t="n">
        <f aca="false">F10*F14</f>
        <v>1425</v>
      </c>
    </row>
    <row r="29" customFormat="false" ht="15" hidden="false" customHeight="false" outlineLevel="0" collapsed="false">
      <c r="A29" s="7" t="s">
        <v>35</v>
      </c>
      <c r="B29" s="20" t="n">
        <f aca="false">B28*B16</f>
        <v>0.45</v>
      </c>
      <c r="C29" s="20" t="n">
        <f aca="false">C28*C16</f>
        <v>3.33</v>
      </c>
      <c r="D29" s="20" t="n">
        <f aca="false">D28*D16</f>
        <v>18.9</v>
      </c>
      <c r="E29" s="20" t="n">
        <f aca="false">E28*E16</f>
        <v>40.6</v>
      </c>
      <c r="F29" s="20" t="n">
        <f aca="false">F28*F16</f>
        <v>114</v>
      </c>
    </row>
    <row r="30" customFormat="false" ht="15" hidden="false" customHeight="false" outlineLevel="0" collapsed="false">
      <c r="A30" s="7" t="s">
        <v>36</v>
      </c>
      <c r="B30" s="21" t="n">
        <f aca="false">B29*$B$21</f>
        <v>12.6</v>
      </c>
      <c r="C30" s="21" t="n">
        <f aca="false">C29*$B$21</f>
        <v>93.24</v>
      </c>
      <c r="D30" s="21" t="n">
        <f aca="false">D29*$B$21</f>
        <v>529.2</v>
      </c>
      <c r="E30" s="21" t="n">
        <f aca="false">E29*$B$21</f>
        <v>1136.8</v>
      </c>
      <c r="F30" s="21" t="n">
        <f aca="false">F29*$B$21</f>
        <v>3192</v>
      </c>
    </row>
    <row r="32" customFormat="false" ht="15" hidden="false" customHeight="false" outlineLevel="0" collapsed="false">
      <c r="A32" s="22" t="s">
        <v>37</v>
      </c>
      <c r="B32" s="23" t="n">
        <f aca="false">B26+B27+B30</f>
        <v>207</v>
      </c>
      <c r="C32" s="23" t="n">
        <f aca="false">C26+C27+C30</f>
        <v>1425.24</v>
      </c>
      <c r="D32" s="23" t="n">
        <f aca="false">D26+D27+D30</f>
        <v>7819.2</v>
      </c>
      <c r="E32" s="23" t="n">
        <f aca="false">E26+E27+E30</f>
        <v>18362.8</v>
      </c>
      <c r="F32" s="23" t="n">
        <f aca="false">F26+F27+F30</f>
        <v>49362</v>
      </c>
      <c r="G32" s="6"/>
    </row>
    <row r="33" customFormat="false" ht="15" hidden="false" customHeight="false" outlineLevel="0" collapsed="false">
      <c r="A33" s="24" t="s">
        <v>38</v>
      </c>
      <c r="F33" s="25" t="n">
        <f aca="false">F32*12</f>
        <v>592344</v>
      </c>
    </row>
    <row r="35" customFormat="false" ht="15" hidden="false" customHeight="false" outlineLevel="0" collapsed="false">
      <c r="A35" s="13" t="s">
        <v>39</v>
      </c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7" t="s">
        <v>40</v>
      </c>
      <c r="B36" s="16" t="n">
        <v>0</v>
      </c>
      <c r="C36" s="16" t="n">
        <v>0</v>
      </c>
      <c r="D36" s="16" t="n">
        <v>7</v>
      </c>
      <c r="E36" s="16" t="n">
        <v>7</v>
      </c>
      <c r="F36" s="16" t="n">
        <v>7</v>
      </c>
      <c r="G36" s="9" t="s">
        <v>41</v>
      </c>
    </row>
    <row r="37" customFormat="false" ht="15" hidden="false" customHeight="false" outlineLevel="0" collapsed="false">
      <c r="A37" s="7" t="s">
        <v>42</v>
      </c>
      <c r="B37" s="16" t="n">
        <v>9</v>
      </c>
      <c r="C37" s="16" t="n">
        <v>9</v>
      </c>
      <c r="D37" s="16" t="n">
        <v>9</v>
      </c>
      <c r="E37" s="16" t="n">
        <v>9</v>
      </c>
      <c r="F37" s="16" t="n">
        <v>9</v>
      </c>
      <c r="G37" s="9" t="s">
        <v>43</v>
      </c>
    </row>
    <row r="38" customFormat="false" ht="15" hidden="false" customHeight="false" outlineLevel="0" collapsed="false">
      <c r="A38" s="7" t="s">
        <v>44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9" t="s">
        <v>45</v>
      </c>
    </row>
    <row r="39" customFormat="false" ht="15" hidden="false" customHeight="false" outlineLevel="0" collapsed="false">
      <c r="A39" s="7" t="s">
        <v>46</v>
      </c>
      <c r="B39" s="16" t="n">
        <v>0</v>
      </c>
      <c r="C39" s="16" t="n">
        <v>0</v>
      </c>
      <c r="D39" s="16" t="n">
        <v>0</v>
      </c>
      <c r="E39" s="16" t="n">
        <v>0</v>
      </c>
      <c r="F39" s="16" t="n">
        <v>0</v>
      </c>
      <c r="G39" s="9" t="s">
        <v>47</v>
      </c>
    </row>
    <row r="40" customFormat="false" ht="15" hidden="false" customHeight="false" outlineLevel="0" collapsed="false">
      <c r="A40" s="7" t="s">
        <v>48</v>
      </c>
      <c r="B40" s="16" t="n">
        <v>0</v>
      </c>
      <c r="C40" s="16" t="n">
        <v>2</v>
      </c>
      <c r="D40" s="16" t="n">
        <v>8</v>
      </c>
      <c r="E40" s="16" t="n">
        <v>20</v>
      </c>
      <c r="F40" s="16" t="n">
        <v>48</v>
      </c>
      <c r="G40" s="9" t="s">
        <v>49</v>
      </c>
    </row>
    <row r="42" customFormat="false" ht="15" hidden="false" customHeight="false" outlineLevel="0" collapsed="false">
      <c r="A42" s="10" t="s">
        <v>50</v>
      </c>
      <c r="B42" s="26" t="n">
        <f aca="false">SUM(B36:B40)</f>
        <v>10</v>
      </c>
      <c r="C42" s="26" t="n">
        <f aca="false">SUM(C36:C40)</f>
        <v>12</v>
      </c>
      <c r="D42" s="26" t="n">
        <f aca="false">SUM(D36:D40)</f>
        <v>25</v>
      </c>
      <c r="E42" s="26" t="n">
        <f aca="false">SUM(E36:E40)</f>
        <v>37</v>
      </c>
      <c r="F42" s="26" t="n">
        <f aca="false">SUM(F36:F40)</f>
        <v>65</v>
      </c>
    </row>
    <row r="44" customFormat="false" ht="16.15" hidden="false" customHeight="false" outlineLevel="0" collapsed="false">
      <c r="A44" s="27" t="s">
        <v>51</v>
      </c>
      <c r="B44" s="28" t="n">
        <f aca="false">B32-B42</f>
        <v>197</v>
      </c>
      <c r="C44" s="28" t="n">
        <f aca="false">C32-C42</f>
        <v>1413.24</v>
      </c>
      <c r="D44" s="28" t="n">
        <f aca="false">D32-D42</f>
        <v>7794.2</v>
      </c>
      <c r="E44" s="28" t="n">
        <f aca="false">E32-E42</f>
        <v>18325.8</v>
      </c>
      <c r="F44" s="28" t="n">
        <f aca="false">F32-F42</f>
        <v>49297</v>
      </c>
      <c r="G44" s="29"/>
    </row>
    <row r="45" customFormat="false" ht="16.15" hidden="false" customHeight="false" outlineLevel="0" collapsed="false">
      <c r="A45" s="30" t="s">
        <v>52</v>
      </c>
      <c r="B45" s="29"/>
      <c r="C45" s="29"/>
      <c r="D45" s="29"/>
      <c r="E45" s="29"/>
      <c r="F45" s="31" t="n">
        <f aca="false">F44*12</f>
        <v>591564</v>
      </c>
      <c r="G45" s="29"/>
    </row>
    <row r="47" customFormat="false" ht="15" hidden="false" customHeight="false" outlineLevel="0" collapsed="false">
      <c r="A47" s="32" t="s">
        <v>53</v>
      </c>
    </row>
    <row r="48" customFormat="false" ht="15" hidden="false" customHeight="false" outlineLevel="0" collapsed="false">
      <c r="A48" s="9" t="s">
        <v>54</v>
      </c>
    </row>
    <row r="49" customFormat="false" ht="15" hidden="false" customHeight="false" outlineLevel="0" collapsed="false">
      <c r="A49" s="9" t="s">
        <v>55</v>
      </c>
    </row>
    <row r="50" customFormat="false" ht="15" hidden="false" customHeight="false" outlineLevel="0" collapsed="false">
      <c r="A50" s="9" t="s">
        <v>56</v>
      </c>
    </row>
    <row r="51" customFormat="false" ht="15" hidden="false" customHeight="false" outlineLevel="0" collapsed="false">
      <c r="A51" s="9" t="s">
        <v>57</v>
      </c>
    </row>
    <row r="52" customFormat="false" ht="15" hidden="false" customHeight="false" outlineLevel="0" collapsed="false">
      <c r="A52" s="9" t="s">
        <v>58</v>
      </c>
    </row>
    <row r="53" customFormat="false" ht="15" hidden="false" customHeight="false" outlineLevel="0" collapsed="false">
      <c r="A53" s="9" t="s">
        <v>59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33" t="s">
        <v>60</v>
      </c>
      <c r="B1" s="33"/>
      <c r="C1" s="33"/>
      <c r="D1" s="33"/>
      <c r="E1" s="33"/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63</v>
      </c>
      <c r="D3" s="4" t="s">
        <v>64</v>
      </c>
      <c r="E3" s="4" t="s">
        <v>65</v>
      </c>
    </row>
    <row r="4" customFormat="false" ht="15" hidden="false" customHeight="false" outlineLevel="0" collapsed="false">
      <c r="A4" s="34" t="s">
        <v>66</v>
      </c>
      <c r="B4" s="7" t="s">
        <v>67</v>
      </c>
      <c r="C4" s="35" t="s">
        <v>68</v>
      </c>
      <c r="D4" s="36" t="s">
        <v>69</v>
      </c>
      <c r="E4" s="37" t="s">
        <v>70</v>
      </c>
    </row>
    <row r="5" customFormat="false" ht="15" hidden="false" customHeight="false" outlineLevel="0" collapsed="false">
      <c r="A5" s="7"/>
      <c r="B5" s="7" t="s">
        <v>71</v>
      </c>
      <c r="C5" s="35" t="s">
        <v>68</v>
      </c>
      <c r="D5" s="36" t="s">
        <v>72</v>
      </c>
      <c r="E5" s="37" t="s">
        <v>73</v>
      </c>
    </row>
    <row r="6" customFormat="false" ht="15" hidden="false" customHeight="false" outlineLevel="0" collapsed="false">
      <c r="A6" s="7"/>
      <c r="B6" s="7" t="s">
        <v>74</v>
      </c>
      <c r="C6" s="38" t="s">
        <v>75</v>
      </c>
      <c r="D6" s="36" t="s">
        <v>76</v>
      </c>
      <c r="E6" s="37" t="s">
        <v>77</v>
      </c>
    </row>
    <row r="7" customFormat="false" ht="15" hidden="false" customHeight="false" outlineLevel="0" collapsed="false">
      <c r="A7" s="7"/>
      <c r="B7" s="7" t="s">
        <v>78</v>
      </c>
      <c r="C7" s="35" t="s">
        <v>68</v>
      </c>
      <c r="D7" s="36" t="s">
        <v>79</v>
      </c>
      <c r="E7" s="37" t="s">
        <v>80</v>
      </c>
    </row>
    <row r="8" customFormat="false" ht="15" hidden="false" customHeight="false" outlineLevel="0" collapsed="false">
      <c r="A8" s="34" t="s">
        <v>81</v>
      </c>
      <c r="B8" s="7" t="s">
        <v>82</v>
      </c>
      <c r="C8" s="35" t="s">
        <v>68</v>
      </c>
      <c r="D8" s="36" t="s">
        <v>83</v>
      </c>
      <c r="E8" s="37" t="s">
        <v>84</v>
      </c>
    </row>
    <row r="9" customFormat="false" ht="15" hidden="false" customHeight="false" outlineLevel="0" collapsed="false">
      <c r="A9" s="7"/>
      <c r="B9" s="7" t="s">
        <v>85</v>
      </c>
      <c r="C9" s="39" t="s">
        <v>86</v>
      </c>
      <c r="D9" s="36" t="s">
        <v>87</v>
      </c>
      <c r="E9" s="37" t="s">
        <v>88</v>
      </c>
    </row>
    <row r="10" customFormat="false" ht="15" hidden="false" customHeight="false" outlineLevel="0" collapsed="false">
      <c r="A10" s="7"/>
      <c r="B10" s="7" t="s">
        <v>89</v>
      </c>
      <c r="C10" s="39" t="s">
        <v>86</v>
      </c>
      <c r="D10" s="36" t="s">
        <v>90</v>
      </c>
      <c r="E10" s="37" t="s">
        <v>91</v>
      </c>
    </row>
    <row r="11" customFormat="false" ht="15" hidden="false" customHeight="false" outlineLevel="0" collapsed="false">
      <c r="A11" s="7"/>
      <c r="B11" s="7" t="s">
        <v>92</v>
      </c>
      <c r="C11" s="35" t="s">
        <v>68</v>
      </c>
      <c r="D11" s="36" t="s">
        <v>93</v>
      </c>
      <c r="E11" s="37" t="s">
        <v>94</v>
      </c>
    </row>
    <row r="12" customFormat="false" ht="15" hidden="false" customHeight="false" outlineLevel="0" collapsed="false">
      <c r="A12" s="34" t="s">
        <v>95</v>
      </c>
      <c r="B12" s="7" t="s">
        <v>96</v>
      </c>
      <c r="C12" s="40" t="s">
        <v>97</v>
      </c>
      <c r="D12" s="36" t="s">
        <v>98</v>
      </c>
      <c r="E12" s="37" t="s">
        <v>99</v>
      </c>
    </row>
    <row r="13" customFormat="false" ht="15" hidden="false" customHeight="false" outlineLevel="0" collapsed="false">
      <c r="A13" s="7"/>
      <c r="B13" s="7" t="s">
        <v>100</v>
      </c>
      <c r="C13" s="35" t="s">
        <v>68</v>
      </c>
      <c r="D13" s="36" t="s">
        <v>90</v>
      </c>
      <c r="E13" s="37" t="s">
        <v>101</v>
      </c>
    </row>
    <row r="14" customFormat="false" ht="15" hidden="false" customHeight="false" outlineLevel="0" collapsed="false">
      <c r="A14" s="7"/>
      <c r="B14" s="7" t="s">
        <v>102</v>
      </c>
      <c r="C14" s="35" t="s">
        <v>68</v>
      </c>
      <c r="D14" s="36" t="s">
        <v>87</v>
      </c>
      <c r="E14" s="37" t="s">
        <v>103</v>
      </c>
    </row>
    <row r="15" customFormat="false" ht="15" hidden="false" customHeight="false" outlineLevel="0" collapsed="false">
      <c r="A15" s="7"/>
      <c r="B15" s="7" t="s">
        <v>104</v>
      </c>
      <c r="C15" s="39" t="s">
        <v>86</v>
      </c>
      <c r="D15" s="36" t="s">
        <v>90</v>
      </c>
      <c r="E15" s="37" t="s">
        <v>105</v>
      </c>
    </row>
    <row r="16" customFormat="false" ht="15" hidden="false" customHeight="false" outlineLevel="0" collapsed="false">
      <c r="A16" s="34" t="s">
        <v>106</v>
      </c>
      <c r="B16" s="7" t="s">
        <v>107</v>
      </c>
      <c r="C16" s="39" t="s">
        <v>86</v>
      </c>
      <c r="D16" s="36" t="s">
        <v>87</v>
      </c>
      <c r="E16" s="37" t="s">
        <v>108</v>
      </c>
    </row>
    <row r="17" customFormat="false" ht="15" hidden="false" customHeight="false" outlineLevel="0" collapsed="false">
      <c r="A17" s="7"/>
      <c r="B17" s="7" t="s">
        <v>109</v>
      </c>
      <c r="C17" s="40" t="s">
        <v>97</v>
      </c>
      <c r="D17" s="36" t="s">
        <v>110</v>
      </c>
      <c r="E17" s="37" t="s">
        <v>111</v>
      </c>
    </row>
    <row r="18" customFormat="false" ht="15" hidden="false" customHeight="false" outlineLevel="0" collapsed="false">
      <c r="A18" s="7"/>
      <c r="B18" s="7" t="s">
        <v>112</v>
      </c>
      <c r="C18" s="39" t="s">
        <v>86</v>
      </c>
      <c r="D18" s="36" t="s">
        <v>87</v>
      </c>
      <c r="E18" s="37" t="s">
        <v>113</v>
      </c>
    </row>
    <row r="19" customFormat="false" ht="15" hidden="false" customHeight="false" outlineLevel="0" collapsed="false">
      <c r="A19" s="7"/>
      <c r="B19" s="7" t="s">
        <v>114</v>
      </c>
      <c r="C19" s="39" t="s">
        <v>86</v>
      </c>
      <c r="D19" s="36" t="s">
        <v>90</v>
      </c>
      <c r="E19" s="37" t="s">
        <v>115</v>
      </c>
    </row>
    <row r="20" customFormat="false" ht="15" hidden="false" customHeight="false" outlineLevel="0" collapsed="false">
      <c r="A20" s="34" t="s">
        <v>116</v>
      </c>
      <c r="B20" s="7" t="s">
        <v>117</v>
      </c>
      <c r="C20" s="40" t="s">
        <v>97</v>
      </c>
      <c r="D20" s="36" t="s">
        <v>118</v>
      </c>
      <c r="E20" s="37" t="s">
        <v>119</v>
      </c>
    </row>
    <row r="21" customFormat="false" ht="15" hidden="false" customHeight="false" outlineLevel="0" collapsed="false">
      <c r="A21" s="7"/>
      <c r="B21" s="7" t="s">
        <v>120</v>
      </c>
      <c r="C21" s="35" t="s">
        <v>68</v>
      </c>
      <c r="D21" s="36" t="s">
        <v>121</v>
      </c>
      <c r="E21" s="37" t="s">
        <v>122</v>
      </c>
    </row>
    <row r="22" customFormat="false" ht="15" hidden="false" customHeight="false" outlineLevel="0" collapsed="false">
      <c r="A22" s="7"/>
      <c r="B22" s="7" t="s">
        <v>123</v>
      </c>
      <c r="C22" s="35" t="s">
        <v>68</v>
      </c>
      <c r="D22" s="36" t="s">
        <v>124</v>
      </c>
      <c r="E22" s="37" t="s">
        <v>125</v>
      </c>
    </row>
    <row r="23" customFormat="false" ht="15" hidden="false" customHeight="false" outlineLevel="0" collapsed="false">
      <c r="A23" s="7"/>
      <c r="B23" s="7" t="s">
        <v>126</v>
      </c>
      <c r="C23" s="40" t="s">
        <v>97</v>
      </c>
      <c r="D23" s="36" t="s">
        <v>118</v>
      </c>
      <c r="E23" s="37" t="s">
        <v>127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33" t="s">
        <v>128</v>
      </c>
      <c r="B1" s="33"/>
      <c r="C1" s="33"/>
      <c r="D1" s="33"/>
    </row>
    <row r="3" customFormat="false" ht="15" hidden="false" customHeight="false" outlineLevel="0" collapsed="false">
      <c r="A3" s="4"/>
      <c r="B3" s="4" t="s">
        <v>129</v>
      </c>
      <c r="C3" s="4" t="s">
        <v>130</v>
      </c>
      <c r="D3" s="4" t="s">
        <v>131</v>
      </c>
    </row>
    <row r="4" customFormat="false" ht="15" hidden="false" customHeight="false" outlineLevel="0" collapsed="false">
      <c r="A4" s="7" t="s">
        <v>132</v>
      </c>
      <c r="B4" s="8" t="n">
        <v>57000</v>
      </c>
      <c r="C4" s="8" t="n">
        <v>95000</v>
      </c>
      <c r="D4" s="8" t="n">
        <v>180000</v>
      </c>
    </row>
    <row r="5" customFormat="false" ht="15" hidden="false" customHeight="false" outlineLevel="0" collapsed="false">
      <c r="A5" s="7" t="s">
        <v>133</v>
      </c>
      <c r="B5" s="15" t="n">
        <v>0.06</v>
      </c>
      <c r="C5" s="15" t="n">
        <v>0.08</v>
      </c>
      <c r="D5" s="15" t="n">
        <v>0.1</v>
      </c>
    </row>
    <row r="6" customFormat="false" ht="15" hidden="false" customHeight="false" outlineLevel="0" collapsed="false">
      <c r="A6" s="7" t="s">
        <v>134</v>
      </c>
      <c r="B6" s="15" t="n">
        <v>0.025</v>
      </c>
      <c r="C6" s="15" t="n">
        <v>0.035</v>
      </c>
      <c r="D6" s="15" t="n">
        <v>0.05</v>
      </c>
    </row>
    <row r="7" customFormat="false" ht="15" hidden="false" customHeight="false" outlineLevel="0" collapsed="false">
      <c r="A7" s="7" t="s">
        <v>135</v>
      </c>
      <c r="B7" s="15" t="n">
        <v>0.15</v>
      </c>
      <c r="C7" s="15" t="n">
        <v>0.18</v>
      </c>
      <c r="D7" s="15" t="n">
        <v>0.22</v>
      </c>
    </row>
    <row r="8" customFormat="false" ht="15" hidden="false" customHeight="false" outlineLevel="0" collapsed="false">
      <c r="A8" s="7" t="s">
        <v>136</v>
      </c>
      <c r="B8" s="15" t="n">
        <v>0.08</v>
      </c>
      <c r="C8" s="15" t="n">
        <v>0.1</v>
      </c>
      <c r="D8" s="15" t="n">
        <v>0.12</v>
      </c>
    </row>
    <row r="9" customFormat="false" ht="15" hidden="false" customHeight="false" outlineLevel="0" collapsed="false">
      <c r="A9" s="7" t="s">
        <v>137</v>
      </c>
      <c r="B9" s="16" t="n">
        <v>90</v>
      </c>
      <c r="C9" s="16" t="n">
        <v>120</v>
      </c>
      <c r="D9" s="16" t="n">
        <v>175</v>
      </c>
    </row>
    <row r="10" customFormat="false" ht="15" hidden="false" customHeight="false" outlineLevel="0" collapsed="false">
      <c r="A10" s="7" t="s">
        <v>138</v>
      </c>
      <c r="B10" s="16" t="n">
        <v>28</v>
      </c>
      <c r="C10" s="16" t="n">
        <v>30</v>
      </c>
      <c r="D10" s="16" t="n">
        <v>34</v>
      </c>
    </row>
    <row r="12" customFormat="false" ht="15" hidden="false" customHeight="false" outlineLevel="0" collapsed="false">
      <c r="A12" s="5" t="s">
        <v>139</v>
      </c>
      <c r="B12" s="6"/>
      <c r="C12" s="6"/>
      <c r="D12" s="6"/>
    </row>
    <row r="13" customFormat="false" ht="15" hidden="false" customHeight="false" outlineLevel="0" collapsed="false">
      <c r="A13" s="7" t="s">
        <v>140</v>
      </c>
      <c r="B13" s="19" t="n">
        <f aca="false">B4*B5</f>
        <v>3420</v>
      </c>
      <c r="C13" s="19" t="n">
        <f aca="false">C4*C5</f>
        <v>7600</v>
      </c>
      <c r="D13" s="19" t="n">
        <f aca="false">D4*D5</f>
        <v>18000</v>
      </c>
    </row>
    <row r="14" customFormat="false" ht="15" hidden="false" customHeight="false" outlineLevel="0" collapsed="false">
      <c r="A14" s="7" t="s">
        <v>141</v>
      </c>
      <c r="B14" s="20" t="n">
        <f aca="false">B13*B7</f>
        <v>513</v>
      </c>
      <c r="C14" s="20" t="n">
        <f aca="false">C13*C7</f>
        <v>1368</v>
      </c>
      <c r="D14" s="20" t="n">
        <f aca="false">D13*D7</f>
        <v>3960</v>
      </c>
    </row>
    <row r="15" customFormat="false" ht="15" hidden="false" customHeight="false" outlineLevel="0" collapsed="false">
      <c r="A15" s="7" t="s">
        <v>142</v>
      </c>
      <c r="B15" s="21" t="n">
        <f aca="false">B14*B9</f>
        <v>46170</v>
      </c>
      <c r="C15" s="21" t="n">
        <f aca="false">C14*C9</f>
        <v>164160</v>
      </c>
      <c r="D15" s="21" t="n">
        <f aca="false">D14*D9</f>
        <v>693000</v>
      </c>
    </row>
    <row r="16" customFormat="false" ht="15" hidden="false" customHeight="false" outlineLevel="0" collapsed="false">
      <c r="A16" s="7" t="s">
        <v>35</v>
      </c>
      <c r="B16" s="20" t="n">
        <f aca="false">B4*B6*B8</f>
        <v>114</v>
      </c>
      <c r="C16" s="20" t="n">
        <f aca="false">C4*C6*C8</f>
        <v>332.5</v>
      </c>
      <c r="D16" s="20" t="n">
        <f aca="false">D4*D6*D8</f>
        <v>1080</v>
      </c>
    </row>
    <row r="17" customFormat="false" ht="15" hidden="false" customHeight="false" outlineLevel="0" collapsed="false">
      <c r="A17" s="7" t="s">
        <v>143</v>
      </c>
      <c r="B17" s="21" t="n">
        <f aca="false">B16*B10</f>
        <v>3192</v>
      </c>
      <c r="C17" s="21" t="n">
        <f aca="false">C16*C10</f>
        <v>9975</v>
      </c>
      <c r="D17" s="21" t="n">
        <f aca="false">D16*D10</f>
        <v>36720</v>
      </c>
    </row>
    <row r="19" customFormat="false" ht="17.35" hidden="false" customHeight="false" outlineLevel="0" collapsed="false">
      <c r="A19" s="41" t="s">
        <v>144</v>
      </c>
      <c r="B19" s="42" t="n">
        <f aca="false">B15+B17</f>
        <v>49362</v>
      </c>
      <c r="C19" s="42" t="n">
        <f aca="false">C15+C17</f>
        <v>174135</v>
      </c>
      <c r="D19" s="42" t="n">
        <f aca="false">D15+D17</f>
        <v>729720</v>
      </c>
    </row>
    <row r="20" customFormat="false" ht="16.15" hidden="false" customHeight="false" outlineLevel="0" collapsed="false">
      <c r="A20" s="43" t="s">
        <v>145</v>
      </c>
      <c r="B20" s="44" t="n">
        <f aca="false">B19*12</f>
        <v>592344</v>
      </c>
      <c r="C20" s="44" t="n">
        <f aca="false">C19*12</f>
        <v>2089620</v>
      </c>
      <c r="D20" s="44" t="n">
        <f aca="false">D19*12</f>
        <v>8756640</v>
      </c>
    </row>
    <row r="22" customFormat="false" ht="15" hidden="false" customHeight="false" outlineLevel="0" collapsed="false">
      <c r="A22" s="7" t="s">
        <v>146</v>
      </c>
      <c r="B22" s="16" t="n">
        <v>65</v>
      </c>
      <c r="C22" s="16" t="n">
        <v>65</v>
      </c>
      <c r="D22" s="16" t="n">
        <v>85</v>
      </c>
    </row>
    <row r="23" customFormat="false" ht="16.15" hidden="false" customHeight="false" outlineLevel="0" collapsed="false">
      <c r="A23" s="45" t="s">
        <v>147</v>
      </c>
      <c r="B23" s="46" t="n">
        <f aca="false">B19-B22</f>
        <v>49297</v>
      </c>
      <c r="C23" s="46" t="n">
        <f aca="false">C19-C22</f>
        <v>174070</v>
      </c>
      <c r="D23" s="46" t="n">
        <f aca="false">D19-D22</f>
        <v>729635</v>
      </c>
    </row>
    <row r="24" customFormat="false" ht="17.35" hidden="false" customHeight="false" outlineLevel="0" collapsed="false">
      <c r="A24" s="43" t="s">
        <v>148</v>
      </c>
      <c r="B24" s="47" t="n">
        <f aca="false">B23*12</f>
        <v>591564</v>
      </c>
      <c r="C24" s="47" t="n">
        <f aca="false">C23*12</f>
        <v>2088840</v>
      </c>
      <c r="D24" s="47" t="n">
        <f aca="false">D23*12</f>
        <v>8755620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2026-04-11T00:41:49Z</dcterms:created>
  <dc:creator>openpyxl</dc:creator>
  <dc:description/>
  <dc:language>en-US</dc:language>
  <cp:lastModifiedBy/>
  <dcterms:modified xsi:type="dcterms:W3CDTF">2026-04-11T00:41:49Z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